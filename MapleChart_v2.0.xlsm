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740" yWindow="1890" windowWidth="10500" windowHeight="4575" activeTab="4"/>
  </bookViews>
  <sheets>
    <sheet name="1" sheetId="3" r:id="rId1"/>
    <sheet name="2" sheetId="5" r:id="rId2"/>
    <sheet name="3" sheetId="6" r:id="rId3"/>
    <sheet name="4" sheetId="7" r:id="rId4"/>
    <sheet name="measurement" sheetId="8" r:id="rId5"/>
  </sheets>
  <functionGroups/>
  <definedNames>
    <definedName name="_xlnm._FilterDatabase" localSheetId="1" hidden="1">'2'!$A$1:$F$53127</definedName>
    <definedName name="_xlnm._FilterDatabase" localSheetId="2" hidden="1">'3'!$A$1:$E$5767</definedName>
    <definedName name="_xlnm._FilterDatabase" localSheetId="4" hidden="1">measurement!#REF!</definedName>
  </definedNames>
  <calcPr calcId="125725"/>
</workbook>
</file>

<file path=xl/calcChain.xml><?xml version="1.0" encoding="utf-8"?>
<calcChain xmlns="http://schemas.openxmlformats.org/spreadsheetml/2006/main">
  <c r="B20" i="8"/>
  <c r="B21" s="1"/>
  <c r="A20"/>
  <c r="B15"/>
  <c r="B16" s="1"/>
  <c r="A15"/>
  <c r="C9"/>
  <c r="A9"/>
  <c r="B9"/>
  <c r="A3"/>
  <c r="B3"/>
  <c r="C3"/>
  <c r="C10" l="1"/>
  <c r="C11" s="1"/>
  <c r="B10"/>
  <c r="B11" s="1"/>
  <c r="B4"/>
  <c r="B5" s="1"/>
  <c r="C4"/>
  <c r="C5" s="1"/>
</calcChain>
</file>

<file path=xl/comments1.xml><?xml version="1.0" encoding="utf-8"?>
<comments xmlns="http://schemas.openxmlformats.org/spreadsheetml/2006/main">
  <authors>
    <author>Author</author>
  </authors>
  <commentList>
    <comment ref="E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LantencyThreshold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control the scale of lantency chart</t>
        </r>
      </text>
    </comment>
  </commentList>
</comments>
</file>

<file path=xl/sharedStrings.xml><?xml version="1.0" encoding="utf-8"?>
<sst xmlns="http://schemas.openxmlformats.org/spreadsheetml/2006/main" count="51" uniqueCount="24">
  <si>
    <t>Status</t>
  </si>
  <si>
    <t>File Path</t>
  </si>
  <si>
    <t>Data Count</t>
  </si>
  <si>
    <t>Dirty Data Count</t>
  </si>
  <si>
    <t>Dirty Data Threshold</t>
  </si>
  <si>
    <t>Distribution Threshold</t>
  </si>
  <si>
    <t>Latency Scale Threshold</t>
  </si>
  <si>
    <t>Use Latency Scale Threshold</t>
  </si>
  <si>
    <t>&lt;10s</t>
  </si>
  <si>
    <t>&lt;60s</t>
  </si>
  <si>
    <t>STP</t>
  </si>
  <si>
    <t>PDC</t>
  </si>
  <si>
    <t>PAYMENT</t>
  </si>
  <si>
    <t>Confirmation</t>
  </si>
  <si>
    <t>total(&gt;0 and &lt;1800)</t>
  </si>
  <si>
    <t>Result</t>
  </si>
  <si>
    <t>total</t>
  </si>
  <si>
    <t>&gt;1800s</t>
  </si>
  <si>
    <t>&lt;=2s</t>
  </si>
  <si>
    <t>&lt;=5s</t>
  </si>
  <si>
    <t>n</t>
  </si>
  <si>
    <t>PASS</t>
  </si>
  <si>
    <t>FAIL</t>
  </si>
  <si>
    <t>Clear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</si>
</sst>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20"/>
      <color indexed="57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3" borderId="0" xfId="0" applyFill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10" fontId="0" fillId="4" borderId="1" xfId="0" applyNumberFormat="1" applyFill="1" applyBorder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3"/>
  <sheetViews>
    <sheetView zoomScaleNormal="100" workbookViewId="0">
      <selection activeCell="F18" sqref="F18"/>
    </sheetView>
  </sheetViews>
  <sheetFormatPr defaultRowHeight="15"/>
  <cols>
    <col min="1" max="1" width="26.5703125" customWidth="1"/>
    <col min="2" max="2" width="91.140625" customWidth="1"/>
    <col min="3" max="3" width="26.42578125" bestFit="1" customWidth="1"/>
    <col min="4" max="4" width="23.140625" bestFit="1" customWidth="1"/>
    <col min="5" max="5" width="19.28515625" bestFit="1" customWidth="1"/>
    <col min="6" max="6" width="28.7109375" bestFit="1" customWidth="1"/>
    <col min="7" max="7" width="21.140625" hidden="1" customWidth="1"/>
    <col min="8" max="8" width="26.28515625" bestFit="1" customWidth="1"/>
    <col min="9" max="9" width="22.42578125" bestFit="1" customWidth="1"/>
  </cols>
  <sheetData>
    <row r="1" spans="1:8" s="1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  <c r="G1" s="7" t="s">
        <v>5</v>
      </c>
      <c r="H1" s="7" t="s">
        <v>7</v>
      </c>
    </row>
    <row r="2" spans="1:8" s="1" customFormat="1">
      <c r="A2" s="5" t="s">
        <v>23</v>
      </c>
      <c r="B2" s="6"/>
      <c r="C2" s="5"/>
      <c r="D2" s="5"/>
      <c r="E2" s="5">
        <v>3600</v>
      </c>
      <c r="F2" s="5">
        <v>179.67070000000001</v>
      </c>
      <c r="G2" s="5">
        <v>45</v>
      </c>
      <c r="H2" s="5" t="s">
        <v>20</v>
      </c>
    </row>
    <row r="3" spans="1:8" s="1" customFormat="1" ht="54" customHeight="1" thickBot="1">
      <c r="A3" s="2"/>
      <c r="B3" s="3"/>
      <c r="C3" s="3"/>
      <c r="D3" s="3"/>
      <c r="E3" s="4"/>
      <c r="F3" s="4"/>
      <c r="G3" s="4"/>
      <c r="H3" s="4"/>
    </row>
  </sheetData>
  <sortState ref="A3:B5">
    <sortCondition ref="A3"/>
  </sortState>
  <dataValidations disablePrompts="1" count="1">
    <dataValidation type="list" allowBlank="1" showInputMessage="1" showErrorMessage="1" sqref="K1001:K1048576 K2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legacyDrawing r:id="rId2"/>
  <controls>
    <control shapeId="3108" r:id="rId3" name="Image2"/>
    <control shapeId="3078" r:id="rId4" name="Image1"/>
    <control shapeId="3109" r:id="rId5" name="Image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5"/>
  <cols>
    <col min="1" max="2" width="15.5703125" bestFit="1" customWidth="1"/>
    <col min="3" max="3" width="17.85546875" bestFit="1" customWidth="1"/>
    <col min="4" max="5" width="20.7109375" bestFit="1" customWidth="1"/>
    <col min="6" max="6" width="11.85546875" bestFit="1" customWidth="1"/>
    <col min="8" max="8" width="19.85546875" bestFit="1" customWidth="1"/>
    <col min="9" max="9" width="17.28515625" bestFit="1" customWidth="1"/>
    <col min="10" max="10" width="14.5703125" bestFit="1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B1" sqref="B1:D3311"/>
    </sheetView>
  </sheetViews>
  <sheetFormatPr defaultRowHeight="15"/>
  <cols>
    <col min="1" max="1" width="14.140625" bestFit="1" customWidth="1"/>
    <col min="2" max="2" width="9" bestFit="1" customWidth="1"/>
    <col min="3" max="4" width="14.140625" bestFit="1" customWidth="1"/>
    <col min="5" max="5" width="12.140625" bestFit="1" customWidth="1"/>
  </cols>
  <sheetData/>
  <sortState ref="A2:E3311">
    <sortCondition ref="A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I15" sqref="I15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H21"/>
  <sheetViews>
    <sheetView tabSelected="1" workbookViewId="0">
      <selection activeCell="K17" sqref="K17"/>
    </sheetView>
  </sheetViews>
  <sheetFormatPr defaultRowHeight="15"/>
  <cols>
    <col min="1" max="1" width="18" bestFit="1" customWidth="1"/>
    <col min="6" max="6" width="20.28515625" customWidth="1"/>
    <col min="9" max="9" width="10.28515625" bestFit="1" customWidth="1"/>
    <col min="10" max="10" width="12" bestFit="1" customWidth="1"/>
    <col min="11" max="11" width="17.85546875" bestFit="1" customWidth="1"/>
    <col min="12" max="13" width="18.42578125" bestFit="1" customWidth="1"/>
    <col min="14" max="14" width="9.5703125" bestFit="1" customWidth="1"/>
    <col min="16" max="16" width="19.85546875" bestFit="1" customWidth="1"/>
    <col min="17" max="17" width="17.28515625" bestFit="1" customWidth="1"/>
  </cols>
  <sheetData>
    <row r="1" spans="1:8">
      <c r="A1" t="s">
        <v>10</v>
      </c>
    </row>
    <row r="2" spans="1:8">
      <c r="A2" s="8" t="s">
        <v>14</v>
      </c>
      <c r="B2" s="8" t="s">
        <v>8</v>
      </c>
      <c r="C2" s="8" t="s">
        <v>9</v>
      </c>
      <c r="F2" s="8" t="s">
        <v>14</v>
      </c>
      <c r="G2" s="8" t="s">
        <v>8</v>
      </c>
      <c r="H2" s="8" t="s">
        <v>9</v>
      </c>
    </row>
    <row r="3" spans="1:8">
      <c r="A3" s="8">
        <f>COUNTIFS('2'!J:J,"&gt;0",'2'!J:J,"&lt;1800")</f>
        <v>0</v>
      </c>
      <c r="B3" s="8">
        <f>COUNTIFS('2'!J:J,"&gt;0",'2'!J:J,"&lt;10")</f>
        <v>0</v>
      </c>
      <c r="C3" s="8">
        <f>COUNTIFS('2'!J:J,"&gt;0",'2'!J:J,"&lt;60")</f>
        <v>0</v>
      </c>
      <c r="F3" s="8">
        <v>115217</v>
      </c>
      <c r="G3" s="8">
        <v>111714</v>
      </c>
      <c r="H3" s="8">
        <v>114553</v>
      </c>
    </row>
    <row r="4" spans="1:8">
      <c r="A4" s="9"/>
      <c r="B4" s="10" t="e">
        <f>B3/A3</f>
        <v>#DIV/0!</v>
      </c>
      <c r="C4" s="10" t="e">
        <f>C3/A3</f>
        <v>#DIV/0!</v>
      </c>
      <c r="F4" s="9"/>
      <c r="G4" s="10">
        <v>0.96959650051641699</v>
      </c>
      <c r="H4" s="10">
        <v>0.99423696155949204</v>
      </c>
    </row>
    <row r="5" spans="1:8">
      <c r="A5" s="8" t="s">
        <v>15</v>
      </c>
      <c r="B5" s="8" t="e">
        <f>IF(B4&gt;0.9,"PASS","FAIL")</f>
        <v>#DIV/0!</v>
      </c>
      <c r="C5" s="8" t="e">
        <f>IF(C4&gt;0.99,"PASS","FAIL")</f>
        <v>#DIV/0!</v>
      </c>
      <c r="F5" s="8" t="s">
        <v>15</v>
      </c>
      <c r="G5" s="8" t="s">
        <v>21</v>
      </c>
      <c r="H5" s="8" t="s">
        <v>21</v>
      </c>
    </row>
    <row r="7" spans="1:8">
      <c r="A7" t="s">
        <v>11</v>
      </c>
      <c r="F7" t="s">
        <v>11</v>
      </c>
    </row>
    <row r="8" spans="1:8">
      <c r="A8" s="8" t="s">
        <v>16</v>
      </c>
      <c r="B8" s="8" t="s">
        <v>18</v>
      </c>
      <c r="C8" s="8" t="s">
        <v>19</v>
      </c>
      <c r="F8" s="8" t="s">
        <v>16</v>
      </c>
      <c r="G8" s="8" t="s">
        <v>18</v>
      </c>
      <c r="H8" s="8" t="s">
        <v>19</v>
      </c>
    </row>
    <row r="9" spans="1:8">
      <c r="A9" s="8">
        <f>COUNTIF('2'!D:D,"&gt;0")</f>
        <v>0</v>
      </c>
      <c r="B9" s="8">
        <f>COUNTIF('2'!D:D,"&lt;=2")</f>
        <v>0</v>
      </c>
      <c r="C9" s="8">
        <f>COUNTIF('2'!D:D,"&lt;=5")</f>
        <v>0</v>
      </c>
      <c r="F9" s="8">
        <v>8645</v>
      </c>
      <c r="G9" s="8">
        <v>7980</v>
      </c>
      <c r="H9" s="8">
        <v>8465</v>
      </c>
    </row>
    <row r="10" spans="1:8">
      <c r="A10" s="9"/>
      <c r="B10" s="10" t="e">
        <f>B9/A9</f>
        <v>#DIV/0!</v>
      </c>
      <c r="C10" s="10" t="e">
        <f>C9/A9</f>
        <v>#DIV/0!</v>
      </c>
      <c r="F10" s="9"/>
      <c r="G10" s="10">
        <v>0.92307692307692313</v>
      </c>
      <c r="H10" s="10">
        <v>0.97917871602082129</v>
      </c>
    </row>
    <row r="11" spans="1:8">
      <c r="A11" s="8" t="s">
        <v>15</v>
      </c>
      <c r="B11" s="8" t="e">
        <f>IF(B10&gt;0.8,"PASS","FAIL")</f>
        <v>#DIV/0!</v>
      </c>
      <c r="C11" s="8" t="e">
        <f>IF(C10&gt;0.99,"PASS","FAIL")</f>
        <v>#DIV/0!</v>
      </c>
      <c r="F11" s="8" t="s">
        <v>15</v>
      </c>
      <c r="G11" s="8" t="s">
        <v>21</v>
      </c>
      <c r="H11" s="8" t="s">
        <v>22</v>
      </c>
    </row>
    <row r="12" spans="1:8">
      <c r="A12" s="11"/>
      <c r="B12" s="11"/>
      <c r="C12" s="11"/>
      <c r="F12" s="11"/>
      <c r="G12" s="11"/>
    </row>
    <row r="13" spans="1:8">
      <c r="A13" t="s">
        <v>12</v>
      </c>
      <c r="F13" t="s">
        <v>12</v>
      </c>
    </row>
    <row r="14" spans="1:8">
      <c r="A14" s="8" t="s">
        <v>16</v>
      </c>
      <c r="B14" s="8" t="s">
        <v>17</v>
      </c>
      <c r="F14" s="8" t="s">
        <v>16</v>
      </c>
      <c r="G14" s="8" t="s">
        <v>17</v>
      </c>
    </row>
    <row r="15" spans="1:8">
      <c r="A15" s="8">
        <f>COUNTIF('2'!F:F,"&gt;0")</f>
        <v>0</v>
      </c>
      <c r="B15" s="8">
        <f>COUNTIF('2'!F:F,"&gt;1800")</f>
        <v>0</v>
      </c>
      <c r="F15" s="8">
        <v>26623</v>
      </c>
      <c r="G15" s="8">
        <v>0</v>
      </c>
    </row>
    <row r="16" spans="1:8">
      <c r="A16" s="8" t="s">
        <v>15</v>
      </c>
      <c r="B16" s="8" t="str">
        <f>IF(B15=0,"PASS","FAIL")</f>
        <v>PASS</v>
      </c>
      <c r="F16" s="8" t="s">
        <v>15</v>
      </c>
      <c r="G16" s="8" t="s">
        <v>21</v>
      </c>
    </row>
    <row r="18" spans="1:7">
      <c r="A18" t="s">
        <v>13</v>
      </c>
      <c r="F18" t="s">
        <v>13</v>
      </c>
    </row>
    <row r="19" spans="1:7">
      <c r="A19" s="8" t="s">
        <v>16</v>
      </c>
      <c r="B19" s="8" t="s">
        <v>17</v>
      </c>
      <c r="F19" s="8" t="s">
        <v>16</v>
      </c>
      <c r="G19" s="8" t="s">
        <v>17</v>
      </c>
    </row>
    <row r="20" spans="1:7">
      <c r="A20" s="8">
        <f>COUNTIF('2'!H:H,"&gt;0")</f>
        <v>0</v>
      </c>
      <c r="B20" s="8">
        <f>COUNTIF('2'!H:H,"&gt;1800")</f>
        <v>0</v>
      </c>
      <c r="F20" s="8">
        <v>96687</v>
      </c>
      <c r="G20" s="8">
        <v>0</v>
      </c>
    </row>
    <row r="21" spans="1:7">
      <c r="A21" s="8" t="s">
        <v>15</v>
      </c>
      <c r="B21" s="8" t="str">
        <f>IF(B20=0,"PASS","FAIL")</f>
        <v>PASS</v>
      </c>
      <c r="F21" s="8" t="s">
        <v>15</v>
      </c>
      <c r="G21" s="8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</vt:lpstr>
      <vt:lpstr>2</vt:lpstr>
      <vt:lpstr>3</vt:lpstr>
      <vt:lpstr>4</vt:lpstr>
      <vt:lpstr>measurement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V1.3</dc:description>
  <cp:lastModifiedBy/>
  <dcterms:created xsi:type="dcterms:W3CDTF">2006-09-16T00:00:00Z</dcterms:created>
  <dcterms:modified xsi:type="dcterms:W3CDTF">2016-09-19T01:03:51Z</dcterms:modified>
  <cp:category>MAPLE</cp:category>
</cp:coreProperties>
</file>